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ei\OneDrive\Documentos\GitHub\CS_Simulation_GAMA\CS_CityScope_GAMA\includesCalibration\Criteria\"/>
    </mc:Choice>
  </mc:AlternateContent>
  <xr:revisionPtr revIDLastSave="78" documentId="8_{35BF6BAB-B9B8-4BCE-8BCD-A8BCF9AA9A55}" xr6:coauthVersionLast="45" xr6:coauthVersionMax="45" xr10:uidLastSave="{013D7BE7-EAF3-4A62-8A81-78D6342D250F}"/>
  <bookViews>
    <workbookView xWindow="12408" yWindow="1308" windowWidth="17280" windowHeight="8964" xr2:uid="{FBEF2697-BA09-44BC-85E5-069364274E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8" i="1" l="1"/>
  <c r="L7" i="1"/>
  <c r="L6" i="1"/>
  <c r="L5" i="1"/>
  <c r="L4" i="1"/>
  <c r="L3" i="1"/>
  <c r="L2" i="1"/>
  <c r="L1" i="1"/>
  <c r="E22" i="1"/>
  <c r="E24" i="1"/>
  <c r="E23" i="1"/>
  <c r="E21" i="1"/>
  <c r="E20" i="1"/>
  <c r="E19" i="1"/>
  <c r="E18" i="1"/>
  <c r="G9" i="1" l="1"/>
  <c r="D24" i="1" l="1"/>
  <c r="E7" i="1" s="1"/>
  <c r="D23" i="1"/>
  <c r="E6" i="1" s="1"/>
  <c r="D22" i="1"/>
  <c r="E5" i="1" s="1"/>
  <c r="D21" i="1"/>
  <c r="E4" i="1" s="1"/>
  <c r="D20" i="1"/>
  <c r="D19" i="1"/>
  <c r="E2" i="1" s="1"/>
  <c r="D18" i="1"/>
  <c r="E1" i="1" s="1"/>
  <c r="B19" i="1"/>
  <c r="B20" i="1"/>
  <c r="B21" i="1"/>
  <c r="B22" i="1"/>
  <c r="B18" i="1"/>
  <c r="E3" i="1" l="1"/>
  <c r="E8" i="1" s="1"/>
</calcChain>
</file>

<file path=xl/sharedStrings.xml><?xml version="1.0" encoding="utf-8"?>
<sst xmlns="http://schemas.openxmlformats.org/spreadsheetml/2006/main" count="7" uniqueCount="7">
  <si>
    <t>m1</t>
  </si>
  <si>
    <t>m2</t>
  </si>
  <si>
    <t>m3</t>
  </si>
  <si>
    <t>m4</t>
  </si>
  <si>
    <t>m5</t>
  </si>
  <si>
    <t>interesa</t>
  </si>
  <si>
    <t>interesa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</si>
</sst>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98802-418A-464E-9B4B-ECA5A4A8B362}">
  <dimension ref="A1:L24"/>
  <sheetViews>
    <sheetView tabSelected="1" topLeftCell="B1" workbookViewId="0">
      <selection activeCell="I13" sqref="I13:I21"/>
    </sheetView>
  </sheetViews>
  <sheetFormatPr defaultRowHeight="14.4" x14ac:dyDescent="0.3"/>
  <cols>
    <col min="4" max="4" width="11" bestFit="1" customWidth="1"/>
  </cols>
  <sheetData>
    <row r="1" spans="1:12" x14ac:dyDescent="0.3">
      <c r="A1">
        <v>0</v>
      </c>
      <c r="B1">
        <v>10000</v>
      </c>
      <c r="C1" t="s">
        <v>5</v>
      </c>
      <c r="D1">
        <v>25000</v>
      </c>
      <c r="E1">
        <f>D18</f>
        <v>8.4426183373670291E-2</v>
      </c>
      <c r="G1">
        <v>8.4000000000000005E-2</v>
      </c>
      <c r="J1" t="s">
        <v>6</v>
      </c>
      <c r="K1">
        <v>30000</v>
      </c>
      <c r="L1">
        <f>E18</f>
        <v>0.11256824449822705</v>
      </c>
    </row>
    <row r="2" spans="1:12" x14ac:dyDescent="0.3">
      <c r="A2">
        <v>0.1</v>
      </c>
      <c r="B2">
        <v>27767</v>
      </c>
      <c r="D2">
        <v>29999</v>
      </c>
      <c r="E2">
        <f t="shared" ref="E2:E7" si="0">D19-D18</f>
        <v>3.5735204076648874E-2</v>
      </c>
      <c r="G2">
        <v>3.5999999999999997E-2</v>
      </c>
      <c r="K2">
        <v>44999</v>
      </c>
      <c r="L2">
        <f>E19-L1</f>
        <v>0.14308633818273164</v>
      </c>
    </row>
    <row r="3" spans="1:12" x14ac:dyDescent="0.3">
      <c r="A3">
        <v>0.25</v>
      </c>
      <c r="B3">
        <v>44373</v>
      </c>
      <c r="D3">
        <v>34999</v>
      </c>
      <c r="E3">
        <f t="shared" si="0"/>
        <v>4.5164398410213177E-2</v>
      </c>
      <c r="G3">
        <v>4.4999999999999998E-2</v>
      </c>
      <c r="K3">
        <v>59999</v>
      </c>
      <c r="L3">
        <f>E20-L2-L1</f>
        <v>0.13549319523063952</v>
      </c>
    </row>
    <row r="4" spans="1:12" x14ac:dyDescent="0.3">
      <c r="A4">
        <v>0.5</v>
      </c>
      <c r="B4">
        <v>74700</v>
      </c>
      <c r="D4">
        <v>39999</v>
      </c>
      <c r="E4">
        <f t="shared" si="0"/>
        <v>4.5164398410213163E-2</v>
      </c>
      <c r="G4">
        <v>4.4999999999999998E-2</v>
      </c>
      <c r="K4">
        <v>99999</v>
      </c>
      <c r="L4">
        <f>E21-SUM(L1:L3)</f>
        <v>0.31740400762604154</v>
      </c>
    </row>
    <row r="5" spans="1:12" x14ac:dyDescent="0.3">
      <c r="A5">
        <v>0.75</v>
      </c>
      <c r="B5">
        <v>125754</v>
      </c>
      <c r="D5">
        <v>44999</v>
      </c>
      <c r="E5">
        <f t="shared" si="0"/>
        <v>4.4670233838530082E-2</v>
      </c>
      <c r="G5">
        <v>4.4999999999999998E-2</v>
      </c>
      <c r="K5">
        <v>124999</v>
      </c>
      <c r="L5">
        <f>E22-SUM(L1:L4)</f>
        <v>3.7751148610517093E-2</v>
      </c>
    </row>
    <row r="6" spans="1:12" x14ac:dyDescent="0.3">
      <c r="A6">
        <v>0.9</v>
      </c>
      <c r="B6">
        <v>200958</v>
      </c>
      <c r="D6">
        <v>49999</v>
      </c>
      <c r="E6">
        <f t="shared" si="0"/>
        <v>4.1217397038942172E-2</v>
      </c>
      <c r="G6">
        <v>4.1000000000000002E-2</v>
      </c>
      <c r="K6">
        <v>149999</v>
      </c>
      <c r="L6">
        <f>E23-SUM(L1:L5)</f>
        <v>0.12241939906765387</v>
      </c>
    </row>
    <row r="7" spans="1:12" x14ac:dyDescent="0.3">
      <c r="D7">
        <v>74999</v>
      </c>
      <c r="E7">
        <f t="shared" si="0"/>
        <v>0.20508632086463136</v>
      </c>
      <c r="G7">
        <v>0.20499999999999999</v>
      </c>
      <c r="K7">
        <v>199999</v>
      </c>
      <c r="L7">
        <f>E24-SUM(L1:L6)</f>
        <v>2.6581658635954075E-2</v>
      </c>
    </row>
    <row r="8" spans="1:12" x14ac:dyDescent="0.3">
      <c r="E8">
        <f>1-SUM(E1:E7)</f>
        <v>0.49853586398715088</v>
      </c>
      <c r="G8">
        <v>0.499</v>
      </c>
      <c r="K8">
        <v>20000</v>
      </c>
      <c r="L8">
        <f>1-SUM(L1:L7)</f>
        <v>0.10469600814823521</v>
      </c>
    </row>
    <row r="9" spans="1:12" x14ac:dyDescent="0.3">
      <c r="G9">
        <f>SUM(G1:G8)</f>
        <v>0.99999999999999989</v>
      </c>
    </row>
    <row r="18" spans="1:5" x14ac:dyDescent="0.3">
      <c r="A18" t="s">
        <v>0</v>
      </c>
      <c r="B18">
        <f>(B2-B1)/(A2-A1)</f>
        <v>177670</v>
      </c>
      <c r="D18">
        <f>(D1-B1)/B18+A1</f>
        <v>8.4426183373670291E-2</v>
      </c>
      <c r="E18">
        <f>(K1-B2)/B18+A2</f>
        <v>0.11256824449822705</v>
      </c>
    </row>
    <row r="19" spans="1:5" x14ac:dyDescent="0.3">
      <c r="A19" t="s">
        <v>1</v>
      </c>
      <c r="B19">
        <f>(B3-B2)/(A3-A2)</f>
        <v>110706.66666666667</v>
      </c>
      <c r="D19">
        <f>(D2-B2)/B19+A2</f>
        <v>0.12016138745031917</v>
      </c>
      <c r="E19">
        <f>(K2-B3)/B19+A3</f>
        <v>0.2556545826809587</v>
      </c>
    </row>
    <row r="20" spans="1:5" x14ac:dyDescent="0.3">
      <c r="A20" t="s">
        <v>2</v>
      </c>
      <c r="B20">
        <f>(B4-B3)/(A4-A3)</f>
        <v>121308</v>
      </c>
      <c r="D20">
        <f>(D3-B2)/B19+A2</f>
        <v>0.16532578586053234</v>
      </c>
      <c r="E20">
        <f>(K3-B3)/B19+A3</f>
        <v>0.39114777791159822</v>
      </c>
    </row>
    <row r="21" spans="1:5" x14ac:dyDescent="0.3">
      <c r="A21" t="s">
        <v>3</v>
      </c>
      <c r="B21">
        <f>(B5-B4)/(A5-A4)</f>
        <v>204216</v>
      </c>
      <c r="D21">
        <f>(D4-B2)/B19+A2</f>
        <v>0.21049018427074551</v>
      </c>
      <c r="E21">
        <f>(K4-B4)/B20+A4</f>
        <v>0.70855178553763976</v>
      </c>
    </row>
    <row r="22" spans="1:5" x14ac:dyDescent="0.3">
      <c r="A22" t="s">
        <v>4</v>
      </c>
      <c r="B22">
        <f>(B6-B5)/(A6-A5)</f>
        <v>501359.99999999994</v>
      </c>
      <c r="D22">
        <f>(D5-B3)/B20+A3</f>
        <v>0.25516041810927559</v>
      </c>
      <c r="E22">
        <f>(K5-B4)/B21+A4</f>
        <v>0.74630293414815685</v>
      </c>
    </row>
    <row r="23" spans="1:5" x14ac:dyDescent="0.3">
      <c r="D23">
        <f>(D6-B3)/B20+A3</f>
        <v>0.29637781514821776</v>
      </c>
      <c r="E23">
        <f>(K6-B5)/B21+A5</f>
        <v>0.86872233321581072</v>
      </c>
    </row>
    <row r="24" spans="1:5" x14ac:dyDescent="0.3">
      <c r="D24">
        <f>(D7-B4)/B21+A4</f>
        <v>0.50146413601284912</v>
      </c>
      <c r="E24">
        <f>(K7-B6)/B21+A6</f>
        <v>0.89530399185176479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Mireia Yurrita Semperena</dc:creator>
  <cp:lastModifiedBy>Mireia Yurrita Semperena</cp:lastModifiedBy>
  <dcterms:created xsi:type="dcterms:W3CDTF">2020-02-21T19:47:16Z</dcterms:created>
  <dcterms:modified xsi:type="dcterms:W3CDTF">2020-02-27T21:35:52Z</dcterms:modified>
</cp:coreProperties>
</file>